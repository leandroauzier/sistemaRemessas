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sistemaRemessas\modelos\"/>
    </mc:Choice>
  </mc:AlternateContent>
  <xr:revisionPtr revIDLastSave="0" documentId="13_ncr:1_{13A20941-97C7-41E9-8D29-5CE86EA8192F}" xr6:coauthVersionLast="47" xr6:coauthVersionMax="47" xr10:uidLastSave="{00000000-0000-0000-0000-000000000000}"/>
  <bookViews>
    <workbookView xWindow="780" yWindow="780" windowWidth="28800" windowHeight="15435" xr2:uid="{00000000-000D-0000-FFFF-FFFF00000000}"/>
  </bookViews>
  <sheets>
    <sheet name="Plan1" sheetId="1" r:id="rId1"/>
  </sheets>
  <functionGroups builtInGroupCount="19"/>
  <definedNames>
    <definedName name="_xleta.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" i="1" l="1"/>
  <c r="L38" i="1"/>
  <c r="L39" i="1"/>
  <c r="L40" i="1"/>
  <c r="L41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42" i="1" s="1"/>
</calcChain>
</file>

<file path=xl/sharedStrings.xml><?xml version="1.0" encoding="utf-8"?>
<sst xmlns="http://schemas.openxmlformats.org/spreadsheetml/2006/main" count="240" uniqueCount="38">
  <si>
    <t>GOVERNO DO ESTADO DO AMAPÁ</t>
  </si>
  <si>
    <t>SECRETARIA DE ESTADO DA SAÚDE</t>
  </si>
  <si>
    <t>GERÊNCIA TÉCNICA DE DIRETRIZES EM SAÚDE</t>
  </si>
  <si>
    <t>SUBGERÊNCIA</t>
  </si>
  <si>
    <t>Nº</t>
  </si>
  <si>
    <t>CPF</t>
  </si>
  <si>
    <t>TOTAL GERAL</t>
  </si>
  <si>
    <t xml:space="preserve">PROGRAMA DE TRATAMENTO FORA DE DOMICÍLIO </t>
  </si>
  <si>
    <t>COORDENADORIA DE REGULAÇÃO, CONTROLE E AVALIÇÃO</t>
  </si>
  <si>
    <t>CREDOR</t>
  </si>
  <si>
    <t>ESPECIALIDADE</t>
  </si>
  <si>
    <t>PERÍODO</t>
  </si>
  <si>
    <t>USUÁRIO / ACOMPANNHANTE</t>
  </si>
  <si>
    <t>BANCO /AG./C.C</t>
  </si>
  <si>
    <t>QTD</t>
  </si>
  <si>
    <t>VALOR TOTAL</t>
  </si>
  <si>
    <t>V. UNIT.</t>
  </si>
  <si>
    <t xml:space="preserve"> PROCESSO</t>
  </si>
  <si>
    <t>DESTINO</t>
  </si>
  <si>
    <t xml:space="preserve">RELAÇÃO DE PAGAMENTOS DO PROGRAMA DE TRATAMENTO FORA DE DOMÍLIO </t>
  </si>
  <si>
    <t>Servidor responsável pela elaboração do lote: __________________________________________</t>
  </si>
  <si>
    <t>Macapá/AP, datado eletronicamente</t>
  </si>
  <si>
    <t xml:space="preserve">DESPACHO DE SOLICITAÇÃO: </t>
  </si>
  <si>
    <t xml:space="preserve">Senhora Secretária, </t>
  </si>
  <si>
    <t>______________________________________________</t>
  </si>
  <si>
    <t>Maria do Socorro da Cruz Peres</t>
  </si>
  <si>
    <t>CHEFE DE UNIDADE</t>
  </si>
  <si>
    <t>TIPO: AJUDA DE CUSTO</t>
  </si>
  <si>
    <t>Usuário:                   Acompanhante:</t>
  </si>
  <si>
    <r>
      <t>Submeto à apreciação do Ordenador de Despesa a autorização para empenhar, liquidar e pagar o</t>
    </r>
    <r>
      <rPr>
        <b/>
        <sz val="10"/>
        <color theme="1"/>
        <rFont val="Times New Roman"/>
        <family val="1"/>
      </rPr>
      <t xml:space="preserve"> Lote n.º </t>
    </r>
    <r>
      <rPr>
        <b/>
        <sz val="10"/>
        <color rgb="FFFF0000"/>
        <rFont val="Times New Roman"/>
        <family val="1"/>
      </rPr>
      <t>XXX</t>
    </r>
    <r>
      <rPr>
        <sz val="10"/>
        <color theme="1"/>
        <rFont val="Times New Roman"/>
        <family val="1"/>
      </rPr>
      <t xml:space="preserve">, em favor dos usuários do Programa de Tratamento Fora do Domicílio – PTFD, conforme os dados constantes nas fichas financeiras anexas, elaboradas a partir dos deferimentos dos deslocamentos registrados nos pareceres técnicos da Comissão Autorizadora do PTFD, bem como instruídas com a documentação constante dos respectivos processos administrativos de origem dos usuários beneficiários das Ajudas de Custos.       </t>
    </r>
  </si>
  <si>
    <r>
      <t xml:space="preserve">LOTE N° </t>
    </r>
    <r>
      <rPr>
        <b/>
        <sz val="10"/>
        <color rgb="FFFF0000"/>
        <rFont val="Times New Roman"/>
        <family val="1"/>
      </rPr>
      <t>XX</t>
    </r>
    <r>
      <rPr>
        <b/>
        <sz val="10"/>
        <color theme="1"/>
        <rFont val="Times New Roman"/>
        <family val="1"/>
      </rPr>
      <t>/2025</t>
    </r>
  </si>
  <si>
    <t>Usuário:&lt;&lt;Paciente&gt;&gt;                   Acompanhante:&lt;&lt;Acompanhante&gt;&gt;</t>
  </si>
  <si>
    <t>&lt;&lt;Processo&gt;&gt;</t>
  </si>
  <si>
    <t>&lt;&lt;Especialidade&gt;&gt;</t>
  </si>
  <si>
    <t>&lt;&lt;NomeCredor&gt;&gt;</t>
  </si>
  <si>
    <t>&lt;&lt;CPFCredor&gt;&gt;</t>
  </si>
  <si>
    <t xml:space="preserve">BANCO:&lt;&lt;CC_Credor&gt;&gt;  AG:&lt;&lt;AG_Credor&gt;&gt;  CONTA:&lt;&lt;Conta_Credor&gt;&gt;  </t>
  </si>
  <si>
    <t>&lt;&lt;qt_Diarias&gt;&gt;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</si>
</sst>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* #,##0.00_-;\-[$R$-416]* #,##0.00_-;_-[$R$-416]* &quot;-&quot;??_-;_-@_-"/>
  </numFmts>
  <fonts count="12" x14ac:knownFonts="1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rgb="FFFF000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2" xfId="1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justify" vertical="top" wrapText="1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3" fillId="0" borderId="5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895350</xdr:colOff>
      <xdr:row>0</xdr:row>
      <xdr:rowOff>0</xdr:rowOff>
    </xdr:from>
    <xdr:to>
      <xdr:col>5</xdr:col>
      <xdr:colOff>561974</xdr:colOff>
      <xdr:row>0</xdr:row>
      <xdr:rowOff>600075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4E28AC53-AD1C-4A3D-8FB3-EFA0A05CBC6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14800" y="0"/>
          <a:ext cx="647699" cy="600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53</xdr:row>
          <xdr:rowOff>9525</xdr:rowOff>
        </xdr:from>
        <xdr:to>
          <xdr:col>11</xdr:col>
          <xdr:colOff>885825</xdr:colOff>
          <xdr:row>58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Remessa até o dia de hoje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M50"/>
  <sheetViews>
    <sheetView tabSelected="1" topLeftCell="A39" zoomScale="90" zoomScaleNormal="90" workbookViewId="0">
      <selection activeCell="M56" sqref="M56"/>
    </sheetView>
  </sheetViews>
  <sheetFormatPr defaultRowHeight="15" x14ac:dyDescent="0.25"/>
  <cols>
    <col min="1" max="1" width="3" customWidth="1"/>
    <col min="2" max="2" width="19.7109375" customWidth="1"/>
    <col min="3" max="3" width="12.28515625" customWidth="1"/>
    <col min="4" max="4" width="11.5703125" customWidth="1"/>
    <col min="5" max="5" width="14.7109375" style="20" customWidth="1"/>
    <col min="6" max="6" width="9.85546875" customWidth="1"/>
    <col min="7" max="7" width="12.140625" customWidth="1"/>
    <col min="8" max="8" width="13.28515625" customWidth="1"/>
    <col min="9" max="9" width="11.140625" customWidth="1"/>
    <col min="10" max="10" width="4.42578125" bestFit="1" customWidth="1"/>
    <col min="11" max="11" width="7.140625" bestFit="1" customWidth="1"/>
    <col min="12" max="12" width="13.42578125" customWidth="1"/>
  </cols>
  <sheetData>
    <row r="1" spans="1:13" ht="49.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1"/>
    </row>
    <row r="2" spans="1:13" x14ac:dyDescent="0.25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1"/>
    </row>
    <row r="3" spans="1:13" x14ac:dyDescent="0.25">
      <c r="A3" s="21" t="s">
        <v>1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1"/>
    </row>
    <row r="4" spans="1:13" x14ac:dyDescent="0.25">
      <c r="A4" s="21" t="s">
        <v>8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1"/>
    </row>
    <row r="5" spans="1:13" x14ac:dyDescent="0.25">
      <c r="A5" s="21" t="s">
        <v>7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1"/>
    </row>
    <row r="6" spans="1:13" x14ac:dyDescent="0.25">
      <c r="A6" s="21" t="s">
        <v>2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1"/>
    </row>
    <row r="7" spans="1:13" x14ac:dyDescent="0.25">
      <c r="A7" s="21" t="s">
        <v>3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"/>
    </row>
    <row r="8" spans="1:1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1:13" x14ac:dyDescent="0.25">
      <c r="A9" s="28" t="s">
        <v>19</v>
      </c>
      <c r="B9" s="28"/>
      <c r="C9" s="28"/>
      <c r="D9" s="28"/>
      <c r="E9" s="28"/>
      <c r="F9" s="28"/>
      <c r="G9" s="28"/>
      <c r="H9" s="28"/>
      <c r="I9" s="28"/>
      <c r="J9" s="28"/>
      <c r="K9" s="27" t="s">
        <v>30</v>
      </c>
      <c r="L9" s="27"/>
    </row>
    <row r="10" spans="1:13" s="19" customFormat="1" ht="12.75" x14ac:dyDescent="0.2">
      <c r="A10" s="18" t="s">
        <v>27</v>
      </c>
      <c r="B10" s="13"/>
      <c r="C10" s="13"/>
      <c r="D10" s="13"/>
      <c r="E10" s="16"/>
      <c r="F10" s="13"/>
      <c r="G10" s="13"/>
      <c r="H10" s="13"/>
      <c r="I10" s="13"/>
      <c r="J10" s="13"/>
      <c r="K10" s="13"/>
      <c r="L10" s="13"/>
    </row>
    <row r="11" spans="1:13" ht="21" x14ac:dyDescent="0.25">
      <c r="A11" s="9" t="s">
        <v>4</v>
      </c>
      <c r="B11" s="9" t="s">
        <v>12</v>
      </c>
      <c r="C11" s="9" t="s">
        <v>17</v>
      </c>
      <c r="D11" s="9" t="s">
        <v>18</v>
      </c>
      <c r="E11" s="9" t="s">
        <v>10</v>
      </c>
      <c r="F11" s="9" t="s">
        <v>11</v>
      </c>
      <c r="G11" s="9" t="s">
        <v>9</v>
      </c>
      <c r="H11" s="9" t="s">
        <v>5</v>
      </c>
      <c r="I11" s="9" t="s">
        <v>13</v>
      </c>
      <c r="J11" s="9" t="s">
        <v>14</v>
      </c>
      <c r="K11" s="9" t="s">
        <v>16</v>
      </c>
      <c r="L11" s="9" t="s">
        <v>15</v>
      </c>
    </row>
    <row r="12" spans="1:13" ht="79.5" customHeight="1" x14ac:dyDescent="0.25">
      <c r="A12" s="4">
        <v>1</v>
      </c>
      <c r="B12" s="11" t="s">
        <v>31</v>
      </c>
      <c r="C12" s="2" t="s">
        <v>32</v>
      </c>
      <c r="D12" s="2"/>
      <c r="E12" s="2" t="s">
        <v>33</v>
      </c>
      <c r="F12" s="8"/>
      <c r="G12" s="8" t="s">
        <v>34</v>
      </c>
      <c r="H12" s="2" t="s">
        <v>35</v>
      </c>
      <c r="I12" s="5" t="s">
        <v>36</v>
      </c>
      <c r="J12" s="5" t="s">
        <v>37</v>
      </c>
      <c r="K12" s="12">
        <v>24.75</v>
      </c>
      <c r="L12" s="3" t="e">
        <f>J12*K12</f>
        <v>#VALUE!</v>
      </c>
    </row>
    <row r="13" spans="1:13" ht="79.5" customHeight="1" x14ac:dyDescent="0.25">
      <c r="A13" s="4">
        <v>2</v>
      </c>
      <c r="B13" s="11" t="s">
        <v>28</v>
      </c>
      <c r="C13" s="2" t="s">
        <v>32</v>
      </c>
      <c r="D13" s="2"/>
      <c r="E13" s="2" t="s">
        <v>33</v>
      </c>
      <c r="F13" s="8"/>
      <c r="G13" s="8" t="s">
        <v>34</v>
      </c>
      <c r="H13" s="2" t="s">
        <v>35</v>
      </c>
      <c r="I13" s="5" t="s">
        <v>36</v>
      </c>
      <c r="J13" s="5" t="s">
        <v>37</v>
      </c>
      <c r="K13" s="12">
        <v>24.75</v>
      </c>
      <c r="L13" s="3" t="e">
        <f t="shared" ref="L13:L36" si="0">J13*K13</f>
        <v>#VALUE!</v>
      </c>
    </row>
    <row r="14" spans="1:13" ht="78" customHeight="1" x14ac:dyDescent="0.25">
      <c r="A14" s="4">
        <v>3</v>
      </c>
      <c r="B14" s="11" t="s">
        <v>28</v>
      </c>
      <c r="C14" s="2" t="s">
        <v>32</v>
      </c>
      <c r="D14" s="2"/>
      <c r="E14" s="2" t="s">
        <v>33</v>
      </c>
      <c r="F14" s="8"/>
      <c r="G14" s="8" t="s">
        <v>34</v>
      </c>
      <c r="H14" s="2" t="s">
        <v>35</v>
      </c>
      <c r="I14" s="5" t="s">
        <v>36</v>
      </c>
      <c r="J14" s="5" t="s">
        <v>37</v>
      </c>
      <c r="K14" s="12">
        <v>24.75</v>
      </c>
      <c r="L14" s="3" t="e">
        <f t="shared" si="0"/>
        <v>#VALUE!</v>
      </c>
    </row>
    <row r="15" spans="1:13" ht="78" customHeight="1" x14ac:dyDescent="0.25">
      <c r="A15" s="4">
        <v>4</v>
      </c>
      <c r="B15" s="11" t="s">
        <v>28</v>
      </c>
      <c r="C15" s="2" t="s">
        <v>32</v>
      </c>
      <c r="D15" s="2"/>
      <c r="E15" s="2" t="s">
        <v>33</v>
      </c>
      <c r="F15" s="8"/>
      <c r="G15" s="8" t="s">
        <v>34</v>
      </c>
      <c r="H15" s="2" t="s">
        <v>35</v>
      </c>
      <c r="I15" s="5" t="s">
        <v>36</v>
      </c>
      <c r="J15" s="5" t="s">
        <v>37</v>
      </c>
      <c r="K15" s="12">
        <v>24.75</v>
      </c>
      <c r="L15" s="3" t="e">
        <f t="shared" si="0"/>
        <v>#VALUE!</v>
      </c>
    </row>
    <row r="16" spans="1:13" ht="78" customHeight="1" x14ac:dyDescent="0.25">
      <c r="A16" s="4">
        <v>5</v>
      </c>
      <c r="B16" s="11" t="s">
        <v>28</v>
      </c>
      <c r="C16" s="2" t="s">
        <v>32</v>
      </c>
      <c r="D16" s="2"/>
      <c r="E16" s="2" t="s">
        <v>33</v>
      </c>
      <c r="F16" s="8"/>
      <c r="G16" s="8" t="s">
        <v>34</v>
      </c>
      <c r="H16" s="2" t="s">
        <v>35</v>
      </c>
      <c r="I16" s="5" t="s">
        <v>36</v>
      </c>
      <c r="J16" s="5" t="s">
        <v>37</v>
      </c>
      <c r="K16" s="12">
        <v>24.75</v>
      </c>
      <c r="L16" s="3" t="e">
        <f t="shared" si="0"/>
        <v>#VALUE!</v>
      </c>
    </row>
    <row r="17" spans="1:12" ht="78" customHeight="1" x14ac:dyDescent="0.25">
      <c r="A17" s="4">
        <v>6</v>
      </c>
      <c r="B17" s="11" t="s">
        <v>28</v>
      </c>
      <c r="C17" s="2" t="s">
        <v>32</v>
      </c>
      <c r="D17" s="2"/>
      <c r="E17" s="2" t="s">
        <v>33</v>
      </c>
      <c r="F17" s="8"/>
      <c r="G17" s="8" t="s">
        <v>34</v>
      </c>
      <c r="H17" s="2" t="s">
        <v>35</v>
      </c>
      <c r="I17" s="5" t="s">
        <v>36</v>
      </c>
      <c r="J17" s="5" t="s">
        <v>37</v>
      </c>
      <c r="K17" s="12">
        <v>24.75</v>
      </c>
      <c r="L17" s="3" t="e">
        <f t="shared" si="0"/>
        <v>#VALUE!</v>
      </c>
    </row>
    <row r="18" spans="1:12" ht="78" customHeight="1" x14ac:dyDescent="0.25">
      <c r="A18" s="4">
        <v>7</v>
      </c>
      <c r="B18" s="11" t="s">
        <v>28</v>
      </c>
      <c r="C18" s="2" t="s">
        <v>32</v>
      </c>
      <c r="D18" s="2"/>
      <c r="E18" s="2" t="s">
        <v>33</v>
      </c>
      <c r="F18" s="8"/>
      <c r="G18" s="8" t="s">
        <v>34</v>
      </c>
      <c r="H18" s="2" t="s">
        <v>35</v>
      </c>
      <c r="I18" s="5" t="s">
        <v>36</v>
      </c>
      <c r="J18" s="5" t="s">
        <v>37</v>
      </c>
      <c r="K18" s="12">
        <v>24.75</v>
      </c>
      <c r="L18" s="3" t="e">
        <f t="shared" si="0"/>
        <v>#VALUE!</v>
      </c>
    </row>
    <row r="19" spans="1:12" ht="78" customHeight="1" x14ac:dyDescent="0.25">
      <c r="A19" s="4">
        <v>8</v>
      </c>
      <c r="B19" s="11" t="s">
        <v>28</v>
      </c>
      <c r="C19" s="2" t="s">
        <v>32</v>
      </c>
      <c r="D19" s="2"/>
      <c r="E19" s="2" t="s">
        <v>33</v>
      </c>
      <c r="F19" s="8"/>
      <c r="G19" s="8" t="s">
        <v>34</v>
      </c>
      <c r="H19" s="2" t="s">
        <v>35</v>
      </c>
      <c r="I19" s="5" t="s">
        <v>36</v>
      </c>
      <c r="J19" s="5" t="s">
        <v>37</v>
      </c>
      <c r="K19" s="12">
        <v>24.75</v>
      </c>
      <c r="L19" s="3" t="e">
        <f t="shared" si="0"/>
        <v>#VALUE!</v>
      </c>
    </row>
    <row r="20" spans="1:12" ht="78" customHeight="1" x14ac:dyDescent="0.25">
      <c r="A20" s="4">
        <v>9</v>
      </c>
      <c r="B20" s="11" t="s">
        <v>28</v>
      </c>
      <c r="C20" s="2" t="s">
        <v>32</v>
      </c>
      <c r="D20" s="2"/>
      <c r="E20" s="2" t="s">
        <v>33</v>
      </c>
      <c r="F20" s="8"/>
      <c r="G20" s="8" t="s">
        <v>34</v>
      </c>
      <c r="H20" s="2" t="s">
        <v>35</v>
      </c>
      <c r="I20" s="5" t="s">
        <v>36</v>
      </c>
      <c r="J20" s="5" t="s">
        <v>37</v>
      </c>
      <c r="K20" s="12">
        <v>24.75</v>
      </c>
      <c r="L20" s="3" t="e">
        <f t="shared" si="0"/>
        <v>#VALUE!</v>
      </c>
    </row>
    <row r="21" spans="1:12" ht="78" customHeight="1" x14ac:dyDescent="0.25">
      <c r="A21" s="4">
        <v>10</v>
      </c>
      <c r="B21" s="11" t="s">
        <v>28</v>
      </c>
      <c r="C21" s="2" t="s">
        <v>32</v>
      </c>
      <c r="D21" s="2"/>
      <c r="E21" s="2" t="s">
        <v>33</v>
      </c>
      <c r="F21" s="8"/>
      <c r="G21" s="8" t="s">
        <v>34</v>
      </c>
      <c r="H21" s="2" t="s">
        <v>35</v>
      </c>
      <c r="I21" s="5" t="s">
        <v>36</v>
      </c>
      <c r="J21" s="5" t="s">
        <v>37</v>
      </c>
      <c r="K21" s="12">
        <v>24.75</v>
      </c>
      <c r="L21" s="3" t="e">
        <f t="shared" si="0"/>
        <v>#VALUE!</v>
      </c>
    </row>
    <row r="22" spans="1:12" ht="78" customHeight="1" x14ac:dyDescent="0.25">
      <c r="A22" s="4">
        <v>11</v>
      </c>
      <c r="B22" s="11" t="s">
        <v>28</v>
      </c>
      <c r="C22" s="2" t="s">
        <v>32</v>
      </c>
      <c r="D22" s="2"/>
      <c r="E22" s="2" t="s">
        <v>33</v>
      </c>
      <c r="F22" s="8"/>
      <c r="G22" s="8" t="s">
        <v>34</v>
      </c>
      <c r="H22" s="2" t="s">
        <v>35</v>
      </c>
      <c r="I22" s="5" t="s">
        <v>36</v>
      </c>
      <c r="J22" s="5" t="s">
        <v>37</v>
      </c>
      <c r="K22" s="12">
        <v>24.75</v>
      </c>
      <c r="L22" s="3" t="e">
        <f t="shared" si="0"/>
        <v>#VALUE!</v>
      </c>
    </row>
    <row r="23" spans="1:12" ht="78" customHeight="1" x14ac:dyDescent="0.25">
      <c r="A23" s="4">
        <v>12</v>
      </c>
      <c r="B23" s="11" t="s">
        <v>28</v>
      </c>
      <c r="C23" s="2" t="s">
        <v>32</v>
      </c>
      <c r="D23" s="2"/>
      <c r="E23" s="2" t="s">
        <v>33</v>
      </c>
      <c r="F23" s="8"/>
      <c r="G23" s="8" t="s">
        <v>34</v>
      </c>
      <c r="H23" s="2" t="s">
        <v>35</v>
      </c>
      <c r="I23" s="5" t="s">
        <v>36</v>
      </c>
      <c r="J23" s="5" t="s">
        <v>37</v>
      </c>
      <c r="K23" s="12">
        <v>24.75</v>
      </c>
      <c r="L23" s="3" t="e">
        <f t="shared" si="0"/>
        <v>#VALUE!</v>
      </c>
    </row>
    <row r="24" spans="1:12" ht="78" customHeight="1" x14ac:dyDescent="0.25">
      <c r="A24" s="4">
        <v>13</v>
      </c>
      <c r="B24" s="11" t="s">
        <v>28</v>
      </c>
      <c r="C24" s="2" t="s">
        <v>32</v>
      </c>
      <c r="D24" s="2"/>
      <c r="E24" s="2" t="s">
        <v>33</v>
      </c>
      <c r="F24" s="8"/>
      <c r="G24" s="8" t="s">
        <v>34</v>
      </c>
      <c r="H24" s="2" t="s">
        <v>35</v>
      </c>
      <c r="I24" s="5" t="s">
        <v>36</v>
      </c>
      <c r="J24" s="5" t="s">
        <v>37</v>
      </c>
      <c r="K24" s="12">
        <v>24.75</v>
      </c>
      <c r="L24" s="3" t="e">
        <f t="shared" si="0"/>
        <v>#VALUE!</v>
      </c>
    </row>
    <row r="25" spans="1:12" ht="78" customHeight="1" x14ac:dyDescent="0.25">
      <c r="A25" s="4">
        <v>14</v>
      </c>
      <c r="B25" s="11" t="s">
        <v>28</v>
      </c>
      <c r="C25" s="2" t="s">
        <v>32</v>
      </c>
      <c r="D25" s="2"/>
      <c r="E25" s="2" t="s">
        <v>33</v>
      </c>
      <c r="F25" s="8"/>
      <c r="G25" s="8" t="s">
        <v>34</v>
      </c>
      <c r="H25" s="2" t="s">
        <v>35</v>
      </c>
      <c r="I25" s="5" t="s">
        <v>36</v>
      </c>
      <c r="J25" s="5" t="s">
        <v>37</v>
      </c>
      <c r="K25" s="12">
        <v>24.75</v>
      </c>
      <c r="L25" s="3" t="e">
        <f t="shared" si="0"/>
        <v>#VALUE!</v>
      </c>
    </row>
    <row r="26" spans="1:12" ht="78" customHeight="1" x14ac:dyDescent="0.25">
      <c r="A26" s="4">
        <v>15</v>
      </c>
      <c r="B26" s="11" t="s">
        <v>28</v>
      </c>
      <c r="C26" s="2" t="s">
        <v>32</v>
      </c>
      <c r="D26" s="2"/>
      <c r="E26" s="2" t="s">
        <v>33</v>
      </c>
      <c r="F26" s="8"/>
      <c r="G26" s="8" t="s">
        <v>34</v>
      </c>
      <c r="H26" s="2" t="s">
        <v>35</v>
      </c>
      <c r="I26" s="5" t="s">
        <v>36</v>
      </c>
      <c r="J26" s="5" t="s">
        <v>37</v>
      </c>
      <c r="K26" s="12">
        <v>24.75</v>
      </c>
      <c r="L26" s="3" t="e">
        <f t="shared" si="0"/>
        <v>#VALUE!</v>
      </c>
    </row>
    <row r="27" spans="1:12" ht="78" customHeight="1" x14ac:dyDescent="0.25">
      <c r="A27" s="4">
        <v>16</v>
      </c>
      <c r="B27" s="11" t="s">
        <v>28</v>
      </c>
      <c r="C27" s="2" t="s">
        <v>32</v>
      </c>
      <c r="D27" s="2"/>
      <c r="E27" s="2" t="s">
        <v>33</v>
      </c>
      <c r="F27" s="8"/>
      <c r="G27" s="8" t="s">
        <v>34</v>
      </c>
      <c r="H27" s="2" t="s">
        <v>35</v>
      </c>
      <c r="I27" s="5" t="s">
        <v>36</v>
      </c>
      <c r="J27" s="5" t="s">
        <v>37</v>
      </c>
      <c r="K27" s="12">
        <v>24.75</v>
      </c>
      <c r="L27" s="3" t="e">
        <f t="shared" si="0"/>
        <v>#VALUE!</v>
      </c>
    </row>
    <row r="28" spans="1:12" ht="78" customHeight="1" x14ac:dyDescent="0.25">
      <c r="A28" s="4">
        <v>17</v>
      </c>
      <c r="B28" s="11" t="s">
        <v>28</v>
      </c>
      <c r="C28" s="2" t="s">
        <v>32</v>
      </c>
      <c r="D28" s="2"/>
      <c r="E28" s="2" t="s">
        <v>33</v>
      </c>
      <c r="F28" s="8"/>
      <c r="G28" s="8" t="s">
        <v>34</v>
      </c>
      <c r="H28" s="2" t="s">
        <v>35</v>
      </c>
      <c r="I28" s="5" t="s">
        <v>36</v>
      </c>
      <c r="J28" s="5" t="s">
        <v>37</v>
      </c>
      <c r="K28" s="12">
        <v>24.75</v>
      </c>
      <c r="L28" s="3" t="e">
        <f t="shared" si="0"/>
        <v>#VALUE!</v>
      </c>
    </row>
    <row r="29" spans="1:12" ht="78" customHeight="1" x14ac:dyDescent="0.25">
      <c r="A29" s="4">
        <v>18</v>
      </c>
      <c r="B29" s="11" t="s">
        <v>28</v>
      </c>
      <c r="C29" s="2" t="s">
        <v>32</v>
      </c>
      <c r="D29" s="2"/>
      <c r="E29" s="2" t="s">
        <v>33</v>
      </c>
      <c r="F29" s="8"/>
      <c r="G29" s="8" t="s">
        <v>34</v>
      </c>
      <c r="H29" s="2" t="s">
        <v>35</v>
      </c>
      <c r="I29" s="5" t="s">
        <v>36</v>
      </c>
      <c r="J29" s="5" t="s">
        <v>37</v>
      </c>
      <c r="K29" s="12">
        <v>24.75</v>
      </c>
      <c r="L29" s="3" t="e">
        <f t="shared" si="0"/>
        <v>#VALUE!</v>
      </c>
    </row>
    <row r="30" spans="1:12" ht="78" customHeight="1" x14ac:dyDescent="0.25">
      <c r="A30" s="4">
        <v>19</v>
      </c>
      <c r="B30" s="11" t="s">
        <v>28</v>
      </c>
      <c r="C30" s="2" t="s">
        <v>32</v>
      </c>
      <c r="D30" s="2"/>
      <c r="E30" s="2" t="s">
        <v>33</v>
      </c>
      <c r="F30" s="8"/>
      <c r="G30" s="8" t="s">
        <v>34</v>
      </c>
      <c r="H30" s="2" t="s">
        <v>35</v>
      </c>
      <c r="I30" s="5" t="s">
        <v>36</v>
      </c>
      <c r="J30" s="5" t="s">
        <v>37</v>
      </c>
      <c r="K30" s="12">
        <v>24.75</v>
      </c>
      <c r="L30" s="3" t="e">
        <f t="shared" si="0"/>
        <v>#VALUE!</v>
      </c>
    </row>
    <row r="31" spans="1:12" ht="78" customHeight="1" x14ac:dyDescent="0.25">
      <c r="A31" s="4">
        <v>20</v>
      </c>
      <c r="B31" s="11" t="s">
        <v>28</v>
      </c>
      <c r="C31" s="2" t="s">
        <v>32</v>
      </c>
      <c r="D31" s="2"/>
      <c r="E31" s="2" t="s">
        <v>33</v>
      </c>
      <c r="F31" s="8"/>
      <c r="G31" s="8" t="s">
        <v>34</v>
      </c>
      <c r="H31" s="2" t="s">
        <v>35</v>
      </c>
      <c r="I31" s="5" t="s">
        <v>36</v>
      </c>
      <c r="J31" s="5" t="s">
        <v>37</v>
      </c>
      <c r="K31" s="12">
        <v>24.75</v>
      </c>
      <c r="L31" s="3" t="e">
        <f t="shared" si="0"/>
        <v>#VALUE!</v>
      </c>
    </row>
    <row r="32" spans="1:12" ht="78" customHeight="1" x14ac:dyDescent="0.25">
      <c r="A32" s="4">
        <v>21</v>
      </c>
      <c r="B32" s="11" t="s">
        <v>28</v>
      </c>
      <c r="C32" s="2" t="s">
        <v>32</v>
      </c>
      <c r="D32" s="2"/>
      <c r="E32" s="2" t="s">
        <v>33</v>
      </c>
      <c r="F32" s="8"/>
      <c r="G32" s="8" t="s">
        <v>34</v>
      </c>
      <c r="H32" s="2" t="s">
        <v>35</v>
      </c>
      <c r="I32" s="5" t="s">
        <v>36</v>
      </c>
      <c r="J32" s="5" t="s">
        <v>37</v>
      </c>
      <c r="K32" s="12">
        <v>24.75</v>
      </c>
      <c r="L32" s="3" t="e">
        <f t="shared" si="0"/>
        <v>#VALUE!</v>
      </c>
    </row>
    <row r="33" spans="1:12" ht="78" customHeight="1" x14ac:dyDescent="0.25">
      <c r="A33" s="4">
        <v>22</v>
      </c>
      <c r="B33" s="11" t="s">
        <v>28</v>
      </c>
      <c r="C33" s="2" t="s">
        <v>32</v>
      </c>
      <c r="D33" s="2"/>
      <c r="E33" s="2" t="s">
        <v>33</v>
      </c>
      <c r="F33" s="8"/>
      <c r="G33" s="8" t="s">
        <v>34</v>
      </c>
      <c r="H33" s="2" t="s">
        <v>35</v>
      </c>
      <c r="I33" s="5" t="s">
        <v>36</v>
      </c>
      <c r="J33" s="5" t="s">
        <v>37</v>
      </c>
      <c r="K33" s="12">
        <v>24.75</v>
      </c>
      <c r="L33" s="3" t="e">
        <f t="shared" si="0"/>
        <v>#VALUE!</v>
      </c>
    </row>
    <row r="34" spans="1:12" ht="78" customHeight="1" x14ac:dyDescent="0.25">
      <c r="A34" s="4">
        <v>23</v>
      </c>
      <c r="B34" s="11" t="s">
        <v>28</v>
      </c>
      <c r="C34" s="2" t="s">
        <v>32</v>
      </c>
      <c r="D34" s="2"/>
      <c r="E34" s="2" t="s">
        <v>33</v>
      </c>
      <c r="F34" s="8"/>
      <c r="G34" s="8" t="s">
        <v>34</v>
      </c>
      <c r="H34" s="2" t="s">
        <v>35</v>
      </c>
      <c r="I34" s="5" t="s">
        <v>36</v>
      </c>
      <c r="J34" s="5" t="s">
        <v>37</v>
      </c>
      <c r="K34" s="12">
        <v>24.75</v>
      </c>
      <c r="L34" s="3" t="e">
        <f t="shared" si="0"/>
        <v>#VALUE!</v>
      </c>
    </row>
    <row r="35" spans="1:12" ht="78" customHeight="1" x14ac:dyDescent="0.25">
      <c r="A35" s="4">
        <v>24</v>
      </c>
      <c r="B35" s="11" t="s">
        <v>28</v>
      </c>
      <c r="C35" s="2" t="s">
        <v>32</v>
      </c>
      <c r="D35" s="2"/>
      <c r="E35" s="2" t="s">
        <v>33</v>
      </c>
      <c r="F35" s="8"/>
      <c r="G35" s="8" t="s">
        <v>34</v>
      </c>
      <c r="H35" s="2" t="s">
        <v>35</v>
      </c>
      <c r="I35" s="5" t="s">
        <v>36</v>
      </c>
      <c r="J35" s="5" t="s">
        <v>37</v>
      </c>
      <c r="K35" s="12">
        <v>24.75</v>
      </c>
      <c r="L35" s="3" t="e">
        <f t="shared" si="0"/>
        <v>#VALUE!</v>
      </c>
    </row>
    <row r="36" spans="1:12" ht="78" customHeight="1" x14ac:dyDescent="0.25">
      <c r="A36" s="4">
        <v>25</v>
      </c>
      <c r="B36" s="11" t="s">
        <v>28</v>
      </c>
      <c r="C36" s="2" t="s">
        <v>32</v>
      </c>
      <c r="D36" s="2"/>
      <c r="E36" s="2" t="s">
        <v>33</v>
      </c>
      <c r="F36" s="8"/>
      <c r="G36" s="8" t="s">
        <v>34</v>
      </c>
      <c r="H36" s="2" t="s">
        <v>35</v>
      </c>
      <c r="I36" s="5" t="s">
        <v>36</v>
      </c>
      <c r="J36" s="5" t="s">
        <v>37</v>
      </c>
      <c r="K36" s="12">
        <v>24.75</v>
      </c>
      <c r="L36" s="3" t="e">
        <f t="shared" si="0"/>
        <v>#VALUE!</v>
      </c>
    </row>
    <row r="37" spans="1:12" ht="90.75" customHeight="1" x14ac:dyDescent="0.25">
      <c r="A37" s="4">
        <v>26</v>
      </c>
      <c r="B37" s="11" t="s">
        <v>28</v>
      </c>
      <c r="C37" s="2" t="s">
        <v>32</v>
      </c>
      <c r="D37" s="2"/>
      <c r="E37" s="2" t="s">
        <v>33</v>
      </c>
      <c r="F37" s="8"/>
      <c r="G37" s="8" t="s">
        <v>34</v>
      </c>
      <c r="H37" s="2" t="s">
        <v>35</v>
      </c>
      <c r="I37" s="5" t="s">
        <v>36</v>
      </c>
      <c r="J37" s="5" t="s">
        <v>37</v>
      </c>
      <c r="K37" s="12">
        <v>24.75</v>
      </c>
      <c r="L37" s="3" t="e">
        <f t="shared" ref="L37:L41" si="1">J37*K37</f>
        <v>#VALUE!</v>
      </c>
    </row>
    <row r="38" spans="1:12" ht="90.75" customHeight="1" x14ac:dyDescent="0.25">
      <c r="A38" s="4">
        <v>27</v>
      </c>
      <c r="B38" s="11" t="s">
        <v>28</v>
      </c>
      <c r="C38" s="2" t="s">
        <v>32</v>
      </c>
      <c r="D38" s="2"/>
      <c r="E38" s="2" t="s">
        <v>33</v>
      </c>
      <c r="F38" s="8"/>
      <c r="G38" s="8" t="s">
        <v>34</v>
      </c>
      <c r="H38" s="2" t="s">
        <v>35</v>
      </c>
      <c r="I38" s="5" t="s">
        <v>36</v>
      </c>
      <c r="J38" s="5" t="s">
        <v>37</v>
      </c>
      <c r="K38" s="12">
        <v>24.75</v>
      </c>
      <c r="L38" s="3" t="e">
        <f t="shared" si="1"/>
        <v>#VALUE!</v>
      </c>
    </row>
    <row r="39" spans="1:12" ht="90.75" customHeight="1" x14ac:dyDescent="0.25">
      <c r="A39" s="4">
        <v>28</v>
      </c>
      <c r="B39" s="11" t="s">
        <v>28</v>
      </c>
      <c r="C39" s="2" t="s">
        <v>32</v>
      </c>
      <c r="D39" s="2"/>
      <c r="E39" s="2" t="s">
        <v>33</v>
      </c>
      <c r="F39" s="8"/>
      <c r="G39" s="8" t="s">
        <v>34</v>
      </c>
      <c r="H39" s="2" t="s">
        <v>35</v>
      </c>
      <c r="I39" s="5" t="s">
        <v>36</v>
      </c>
      <c r="J39" s="5" t="s">
        <v>37</v>
      </c>
      <c r="K39" s="12">
        <v>24.75</v>
      </c>
      <c r="L39" s="3" t="e">
        <f t="shared" si="1"/>
        <v>#VALUE!</v>
      </c>
    </row>
    <row r="40" spans="1:12" ht="90.75" customHeight="1" x14ac:dyDescent="0.25">
      <c r="A40" s="4">
        <v>29</v>
      </c>
      <c r="B40" s="11" t="s">
        <v>28</v>
      </c>
      <c r="C40" s="2" t="s">
        <v>32</v>
      </c>
      <c r="D40" s="2"/>
      <c r="E40" s="2" t="s">
        <v>33</v>
      </c>
      <c r="F40" s="8"/>
      <c r="G40" s="8" t="s">
        <v>34</v>
      </c>
      <c r="H40" s="2" t="s">
        <v>35</v>
      </c>
      <c r="I40" s="5" t="s">
        <v>36</v>
      </c>
      <c r="J40" s="5" t="s">
        <v>37</v>
      </c>
      <c r="K40" s="12">
        <v>24.75</v>
      </c>
      <c r="L40" s="3" t="e">
        <f t="shared" si="1"/>
        <v>#VALUE!</v>
      </c>
    </row>
    <row r="41" spans="1:12" ht="90.75" customHeight="1" x14ac:dyDescent="0.25">
      <c r="A41" s="4">
        <v>30</v>
      </c>
      <c r="B41" s="11" t="s">
        <v>28</v>
      </c>
      <c r="C41" s="2" t="s">
        <v>32</v>
      </c>
      <c r="D41" s="2"/>
      <c r="E41" s="2" t="s">
        <v>33</v>
      </c>
      <c r="F41" s="8"/>
      <c r="G41" s="8" t="s">
        <v>34</v>
      </c>
      <c r="H41" s="2" t="s">
        <v>35</v>
      </c>
      <c r="I41" s="5" t="s">
        <v>36</v>
      </c>
      <c r="J41" s="5" t="s">
        <v>37</v>
      </c>
      <c r="K41" s="12">
        <v>24.75</v>
      </c>
      <c r="L41" s="3" t="e">
        <f t="shared" si="1"/>
        <v>#VALUE!</v>
      </c>
    </row>
    <row r="42" spans="1:12" x14ac:dyDescent="0.25">
      <c r="A42" s="22" t="s">
        <v>6</v>
      </c>
      <c r="B42" s="23"/>
      <c r="C42" s="23"/>
      <c r="D42" s="23"/>
      <c r="E42" s="23"/>
      <c r="F42" s="23"/>
      <c r="G42" s="23"/>
      <c r="H42" s="23"/>
      <c r="I42" s="23"/>
      <c r="J42" s="23"/>
      <c r="K42" s="24"/>
      <c r="L42" s="10" t="e">
        <f>SUM(L12:L41)</f>
        <v>#VALUE!</v>
      </c>
    </row>
    <row r="43" spans="1:12" x14ac:dyDescent="0.25">
      <c r="A43" s="30" t="s">
        <v>20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</row>
    <row r="44" spans="1:12" x14ac:dyDescent="0.25">
      <c r="A44" s="31" t="s">
        <v>21</v>
      </c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</row>
    <row r="45" spans="1:12" x14ac:dyDescent="0.25">
      <c r="A45" s="32" t="s">
        <v>22</v>
      </c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13" t="s">
        <v>23</v>
      </c>
      <c r="B46" s="14"/>
      <c r="C46" s="15"/>
      <c r="D46" s="15"/>
      <c r="E46" s="17"/>
      <c r="F46" s="15"/>
      <c r="G46" s="15"/>
      <c r="H46" s="15"/>
      <c r="I46" s="15"/>
      <c r="J46" s="15"/>
      <c r="K46" s="15"/>
      <c r="L46" s="15"/>
    </row>
    <row r="47" spans="1:12" x14ac:dyDescent="0.25">
      <c r="A47" s="25" t="s">
        <v>29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</row>
    <row r="48" spans="1:12" x14ac:dyDescent="0.25">
      <c r="A48" s="29" t="s">
        <v>24</v>
      </c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</row>
    <row r="49" spans="1:12" x14ac:dyDescent="0.25">
      <c r="A49" s="27" t="s">
        <v>25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</row>
    <row r="50" spans="1:12" x14ac:dyDescent="0.25">
      <c r="A50" s="27" t="s">
        <v>26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</row>
  </sheetData>
  <sheetProtection algorithmName="SHA-512" hashValue="owsEPlVWwyVpYpFRl1rQNQAAJQsVW/jVrsmIMlYtDLdjsim0tuSjfYVjiXbMn3vkUrNthq6NUDIHH2ZCiF9Y+w==" saltValue="Zt1YMvSXxY0Rv3fh80AE+w==" spinCount="100000" sheet="1" objects="1" scenarios="1" selectLockedCells="1" selectUnlockedCells="1"/>
  <mergeCells count="17">
    <mergeCell ref="A48:L48"/>
    <mergeCell ref="A49:L49"/>
    <mergeCell ref="A50:L50"/>
    <mergeCell ref="A43:L43"/>
    <mergeCell ref="A44:L44"/>
    <mergeCell ref="A45:L45"/>
    <mergeCell ref="A42:K42"/>
    <mergeCell ref="A47:L47"/>
    <mergeCell ref="A6:L6"/>
    <mergeCell ref="A7:L7"/>
    <mergeCell ref="K9:L9"/>
    <mergeCell ref="A9:J9"/>
    <mergeCell ref="A1:L1"/>
    <mergeCell ref="A2:L2"/>
    <mergeCell ref="A3:L3"/>
    <mergeCell ref="A4:L4"/>
    <mergeCell ref="A5:L5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GerarRemessaDoDia">
                <anchor moveWithCells="1" sizeWithCells="1">
                  <from>
                    <xdr:col>1</xdr:col>
                    <xdr:colOff>9525</xdr:colOff>
                    <xdr:row>53</xdr:row>
                    <xdr:rowOff>9525</xdr:rowOff>
                  </from>
                  <to>
                    <xdr:col>11</xdr:col>
                    <xdr:colOff>885825</xdr:colOff>
                    <xdr:row>58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Leandro Sobrinho</cp:lastModifiedBy>
  <cp:lastPrinted>2025-09-28T14:38:37Z</cp:lastPrinted>
  <dcterms:created xsi:type="dcterms:W3CDTF">2021-06-28T13:25:26Z</dcterms:created>
  <dcterms:modified xsi:type="dcterms:W3CDTF">2025-11-12T17:44:59Z</dcterms:modified>
</cp:coreProperties>
</file>